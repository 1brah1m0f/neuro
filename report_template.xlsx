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xii\OneDrive\Desktop\"/>
    </mc:Choice>
  </mc:AlternateContent>
  <xr:revisionPtr revIDLastSave="0" documentId="8_{BB9453C2-F8AB-4638-817C-E1BDDB1596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8" l="1"/>
  <c r="K7" i="8"/>
  <c r="S7" i="8"/>
  <c r="C6" i="8"/>
  <c r="G6" i="8"/>
  <c r="C5" i="8"/>
  <c r="O7" i="8"/>
  <c r="O6" i="8"/>
  <c r="O5" i="8"/>
  <c r="S6" i="8"/>
  <c r="S5" i="8"/>
  <c r="W7" i="8"/>
  <c r="W6" i="8"/>
  <c r="W5" i="8"/>
  <c r="K6" i="8"/>
  <c r="K5" i="8"/>
  <c r="G5" i="8"/>
  <c r="G7" i="8"/>
  <c r="C8" i="8" l="1"/>
  <c r="D7" i="8" s="1"/>
  <c r="S8" i="8"/>
  <c r="T7" i="8" s="1"/>
  <c r="W8" i="8"/>
  <c r="X6" i="8" s="1"/>
  <c r="O8" i="8"/>
  <c r="P7" i="8" s="1"/>
  <c r="G8" i="8"/>
  <c r="H6" i="8" s="1"/>
  <c r="K8" i="8"/>
  <c r="L6" i="8" s="1"/>
  <c r="L5" i="8" l="1"/>
  <c r="X5" i="8"/>
  <c r="D6" i="8"/>
  <c r="L7" i="8"/>
  <c r="X7" i="8"/>
  <c r="T5" i="8"/>
  <c r="T6" i="8"/>
  <c r="P5" i="8"/>
  <c r="P6" i="8"/>
  <c r="H5" i="8"/>
  <c r="H7" i="8"/>
  <c r="D5" i="8"/>
  <c r="P8" i="8" l="1"/>
  <c r="L8" i="8"/>
  <c r="X8" i="8"/>
  <c r="T8" i="8"/>
  <c r="H8" i="8"/>
</calcChain>
</file>

<file path=xl/sharedStrings.xml><?xml version="1.0" encoding="utf-8"?>
<sst xmlns="http://schemas.openxmlformats.org/spreadsheetml/2006/main" count="65" uniqueCount="26">
  <si>
    <t>Sentiment</t>
  </si>
  <si>
    <t>Facebook</t>
  </si>
  <si>
    <t>Twitter</t>
  </si>
  <si>
    <t>Instagram</t>
  </si>
  <si>
    <t>LinkedIn</t>
  </si>
  <si>
    <t>Facebook, Instagram, LinkedIn, Tiktok, Twitter</t>
  </si>
  <si>
    <t>Tiktok</t>
  </si>
  <si>
    <t>Number of Posts</t>
  </si>
  <si>
    <t>%</t>
  </si>
  <si>
    <t>Positive</t>
  </si>
  <si>
    <t>Neutral</t>
  </si>
  <si>
    <t>Negative</t>
  </si>
  <si>
    <t>Total</t>
  </si>
  <si>
    <t>PozitivNeytralNeytral%</t>
  </si>
  <si>
    <t>Positive posts</t>
  </si>
  <si>
    <t>Topic</t>
  </si>
  <si>
    <t>Service</t>
  </si>
  <si>
    <t>Airport</t>
  </si>
  <si>
    <t xml:space="preserve">                           Negative posts</t>
  </si>
  <si>
    <t>Tonality Overview of Public Social Media Posts about AZAL
February 23 - February 01 / 2026</t>
  </si>
  <si>
    <t>AZAL - Data Transformation</t>
  </si>
  <si>
    <t>Luggage</t>
  </si>
  <si>
    <t>“OK to Board” issue</t>
  </si>
  <si>
    <t>Flight cancellation</t>
  </si>
  <si>
    <t>Aircraft cabin</t>
  </si>
  <si>
    <t xml:space="preserve">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</si>
</sst>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0000"/>
      <name val="Calibri"/>
      <family val="2"/>
    </font>
    <font>
      <b/>
      <sz val="13"/>
      <color theme="1"/>
      <name val="Calibri"/>
      <family val="2"/>
    </font>
    <font>
      <sz val="13"/>
      <color rgb="FF000000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0" fontId="7" fillId="0" borderId="1" xfId="1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0" fontId="7" fillId="0" borderId="5" xfId="1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9" fontId="8" fillId="0" borderId="6" xfId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6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2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">
    <cellStyle name="Normal" xfId="0" builtinId="0"/>
    <cellStyle name="Normal 2" xfId="2" xr:uid="{E52F1D2E-04FF-443E-B810-2B518724BE57}"/>
    <cellStyle name="Percent" xfId="1" builtinId="5"/>
    <cellStyle name="Percent 2" xfId="3" xr:uid="{8ECBB6D9-D64D-4E2F-9640-4A53D8375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60-46FB-9A3D-6389934B23D4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60-46FB-9A3D-6389934B23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60-46FB-9A3D-6389934B23D4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Report!$B$5:$B$7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Report!$C$5:$C$7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60-46FB-9A3D-6389934B23D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LinkedIn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761584096844143E-2"/>
          <c:y val="0.2518338965045322"/>
          <c:w val="0.6672856618191022"/>
          <c:h val="0.6148781006856673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8F-490B-84F1-EFDCD4231BE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8F-490B-84F1-EFDCD4231B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8F-490B-84F1-EFDCD4231BE9}"/>
              </c:ext>
            </c:extLst>
          </c:dPt>
          <c:dLbls>
            <c:dLbl>
              <c:idx val="2"/>
              <c:layout>
                <c:manualLayout>
                  <c:x val="-0.10015329048810365"/>
                  <c:y val="-5.71303010327400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8F-490B-84F1-EFDCD4231BE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Report!$N$5:$N$7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Report!$O$5:$O$7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8F-490B-84F1-EFDCD4231BE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>
        <c:manualLayout>
          <c:layoutTarget val="inner"/>
          <c:xMode val="edge"/>
          <c:yMode val="edge"/>
          <c:x val="9.9135980040239741E-2"/>
          <c:y val="0.2655157428580297"/>
          <c:w val="0.60250111640044424"/>
          <c:h val="0.5477024636046643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3D-4C31-98B4-485A8D33FDD3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3D-4C31-98B4-485A8D33FD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3D-4C31-98B4-485A8D33FDD3}"/>
              </c:ext>
            </c:extLst>
          </c:dPt>
          <c:dLbls>
            <c:dLbl>
              <c:idx val="2"/>
              <c:layout>
                <c:manualLayout>
                  <c:x val="-4.3489420456865956E-2"/>
                  <c:y val="-5.0372317126587823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z-Latn-AZ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652308468126242"/>
                      <c:h val="7.18791064388961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43D-4C31-98B4-485A8D33FDD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Report!$J$5:$J$7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Report!$K$5:$K$7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3D-4C31-98B4-485A8D33FDD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Facebook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ED-4267-9979-C5232ADC050B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ED-4267-9979-C5232ADC05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ED-4267-9979-C5232ADC050B}"/>
              </c:ext>
            </c:extLst>
          </c:dPt>
          <c:dLbls>
            <c:dLbl>
              <c:idx val="0"/>
              <c:layout>
                <c:manualLayout>
                  <c:x val="4.1416934236161981E-2"/>
                  <c:y val="-4.228478804749991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ED-4267-9979-C5232ADC050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Report!$F$5:$F$7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Report!$G$5:$G$7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ED-4267-9979-C5232ADC050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Twitter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168637685040864E-2"/>
          <c:y val="0.26897378961367174"/>
          <c:w val="0.66974866985455206"/>
          <c:h val="0.6129325187556755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28-4CB6-9BBE-D9C50F0E8F5A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28-4CB6-9BBE-D9C50F0E8F5A}"/>
              </c:ext>
            </c:extLst>
          </c:dPt>
          <c:dPt>
            <c:idx val="2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28-4CB6-9BBE-D9C50F0E8F5A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Report!$V$5:$V$7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Report!$W$5:$W$7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28-4CB6-9BBE-D9C50F0E8F5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Tiktok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632599460493645E-2"/>
          <c:y val="0.28129843453362796"/>
          <c:w val="0.64426444268409089"/>
          <c:h val="0.5953959312398202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C6-4CED-91A0-4255AD6D76ED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C6-4CED-91A0-4255AD6D76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C6-4CED-91A0-4255AD6D76ED}"/>
              </c:ext>
            </c:extLst>
          </c:dPt>
          <c:dLbls>
            <c:dLbl>
              <c:idx val="2"/>
              <c:spPr>
                <a:pattFill prst="pct75">
                  <a:fgClr>
                    <a:srgbClr val="000000">
                      <a:lumMod val="75000"/>
                      <a:lumOff val="25000"/>
                    </a:srgbClr>
                  </a:fgClr>
                  <a:bgClr>
                    <a:srgbClr val="000000">
                      <a:lumMod val="65000"/>
                      <a:lumOff val="35000"/>
                    </a:srgb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z-Latn-AZ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layout>
                    <c:manualLayout>
                      <c:w val="9.9976173191117068E-2"/>
                      <c:h val="8.25057371755232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6C6-4CED-91A0-4255AD6D76ED}"/>
                </c:ext>
              </c:extLst>
            </c:dLbl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Report!$R$5:$R$7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Report!$S$5:$S$7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C6-4CED-91A0-4255AD6D76E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0</xdr:rowOff>
    </xdr:from>
    <xdr:ext cx="676087" cy="495300"/>
    <xdr:pic>
      <xdr:nvPicPr>
        <xdr:cNvPr id="2" name="Picture 1">
          <a:extLst>
            <a:ext uri="{FF2B5EF4-FFF2-40B4-BE49-F238E27FC236}">
              <a16:creationId xmlns:a16="http://schemas.microsoft.com/office/drawing/2014/main" id="{7B52D132-D655-4797-A681-F808B4B4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0"/>
          <a:ext cx="676087" cy="495300"/>
        </a:xfrm>
        <a:prstGeom prst="rect">
          <a:avLst/>
        </a:prstGeom>
      </xdr:spPr>
    </xdr:pic>
    <xdr:clientData/>
  </xdr:oneCellAnchor>
  <xdr:twoCellAnchor>
    <xdr:from>
      <xdr:col>0</xdr:col>
      <xdr:colOff>1009650</xdr:colOff>
      <xdr:row>8</xdr:row>
      <xdr:rowOff>87630</xdr:rowOff>
    </xdr:from>
    <xdr:to>
      <xdr:col>3</xdr:col>
      <xdr:colOff>1771650</xdr:colOff>
      <xdr:row>21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69E470-AA46-4E03-A961-063FEC9B3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8</xdr:row>
      <xdr:rowOff>171450</xdr:rowOff>
    </xdr:from>
    <xdr:to>
      <xdr:col>16</xdr:col>
      <xdr:colOff>7620</xdr:colOff>
      <xdr:row>22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EDC158-BCEE-4A7D-9DC2-F68CAC7E0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8</xdr:row>
      <xdr:rowOff>171450</xdr:rowOff>
    </xdr:from>
    <xdr:to>
      <xdr:col>12</xdr:col>
      <xdr:colOff>7620</xdr:colOff>
      <xdr:row>22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BBB41C-78A3-4C4B-8509-7BEE8F735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8</xdr:row>
      <xdr:rowOff>171450</xdr:rowOff>
    </xdr:from>
    <xdr:to>
      <xdr:col>8</xdr:col>
      <xdr:colOff>0</xdr:colOff>
      <xdr:row>22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661AB0-1ED8-44AF-BD65-FC3440438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9</xdr:row>
      <xdr:rowOff>0</xdr:rowOff>
    </xdr:from>
    <xdr:to>
      <xdr:col>23</xdr:col>
      <xdr:colOff>596265</xdr:colOff>
      <xdr:row>22</xdr:row>
      <xdr:rowOff>24765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3300D934-9398-4642-AF70-F791B2367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27214</xdr:colOff>
      <xdr:row>8</xdr:row>
      <xdr:rowOff>176893</xdr:rowOff>
    </xdr:from>
    <xdr:to>
      <xdr:col>20</xdr:col>
      <xdr:colOff>42454</xdr:colOff>
      <xdr:row>22</xdr:row>
      <xdr:rowOff>13063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F1B820-02EB-4134-BC08-A71C4E992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BF2E5-91B4-429D-A993-7649D44378A1}">
  <sheetPr codeName="Sheet1"/>
  <dimension ref="A1:X34"/>
  <sheetViews>
    <sheetView tabSelected="1" zoomScale="70" zoomScaleNormal="70" workbookViewId="0">
      <selection activeCell="F5" sqref="F5"/>
    </sheetView>
  </sheetViews>
  <sheetFormatPr defaultColWidth="9.140625" defaultRowHeight="17.25"/>
  <cols>
    <col min="1" max="1" width="15.42578125" style="1" customWidth="1"/>
    <col min="2" max="2" width="16.42578125" style="1" customWidth="1"/>
    <col min="3" max="3" width="18" style="1" customWidth="1"/>
    <col min="4" max="4" width="26.85546875" style="1" customWidth="1"/>
    <col min="5" max="5" width="16.5703125" style="1" customWidth="1"/>
    <col min="6" max="6" width="17.5703125" style="26" customWidth="1"/>
    <col min="7" max="7" width="17.28515625" style="26" customWidth="1"/>
    <col min="8" max="8" width="10" style="1" bestFit="1" customWidth="1"/>
    <col min="9" max="9" width="9.85546875" style="1" customWidth="1"/>
    <col min="10" max="10" width="11.42578125" style="1" customWidth="1"/>
    <col min="11" max="11" width="17.140625" style="1" customWidth="1"/>
    <col min="12" max="12" width="10" style="1" bestFit="1" customWidth="1"/>
    <col min="13" max="13" width="9.140625" style="1"/>
    <col min="14" max="14" width="11.28515625" style="1" customWidth="1"/>
    <col min="15" max="15" width="17.42578125" style="1" customWidth="1"/>
    <col min="16" max="16" width="10" style="1" bestFit="1" customWidth="1"/>
    <col min="17" max="17" width="8.42578125" style="1" customWidth="1"/>
    <col min="18" max="18" width="11.28515625" style="1" customWidth="1"/>
    <col min="19" max="19" width="17.5703125" style="1" customWidth="1"/>
    <col min="20" max="20" width="10" style="1" bestFit="1" customWidth="1"/>
    <col min="21" max="21" width="9.140625" style="1"/>
    <col min="22" max="22" width="11.5703125" style="1" customWidth="1"/>
    <col min="23" max="23" width="17.28515625" style="1" customWidth="1"/>
    <col min="24" max="24" width="10" style="1" bestFit="1" customWidth="1"/>
    <col min="25" max="16384" width="9.140625" style="1"/>
  </cols>
  <sheetData>
    <row r="1" spans="1:24" s="26" customFormat="1" ht="40.15" customHeight="1">
      <c r="B1" s="35" t="s">
        <v>19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  <c r="L2" s="3"/>
    </row>
    <row r="3" spans="1:24">
      <c r="B3" s="36" t="s">
        <v>5</v>
      </c>
      <c r="C3" s="36"/>
      <c r="D3" s="36"/>
      <c r="E3" s="2"/>
      <c r="F3" s="37" t="s">
        <v>1</v>
      </c>
      <c r="G3" s="38"/>
      <c r="H3" s="39"/>
      <c r="I3" s="2"/>
      <c r="J3" s="37" t="s">
        <v>3</v>
      </c>
      <c r="K3" s="38"/>
      <c r="L3" s="39"/>
      <c r="N3" s="37" t="s">
        <v>4</v>
      </c>
      <c r="O3" s="38"/>
      <c r="P3" s="39"/>
      <c r="R3" s="37" t="s">
        <v>6</v>
      </c>
      <c r="S3" s="38"/>
      <c r="T3" s="39"/>
      <c r="V3" s="37" t="s">
        <v>2</v>
      </c>
      <c r="W3" s="38"/>
      <c r="X3" s="39"/>
    </row>
    <row r="4" spans="1:24">
      <c r="B4" s="5" t="s">
        <v>0</v>
      </c>
      <c r="C4" s="5" t="s">
        <v>7</v>
      </c>
      <c r="D4" s="6" t="s">
        <v>8</v>
      </c>
      <c r="F4" s="5" t="s">
        <v>0</v>
      </c>
      <c r="G4" s="5" t="s">
        <v>7</v>
      </c>
      <c r="H4" s="6" t="s">
        <v>8</v>
      </c>
      <c r="J4" s="5" t="s">
        <v>0</v>
      </c>
      <c r="K4" s="5" t="s">
        <v>7</v>
      </c>
      <c r="L4" s="6" t="s">
        <v>8</v>
      </c>
      <c r="N4" s="5" t="s">
        <v>0</v>
      </c>
      <c r="O4" s="5" t="s">
        <v>7</v>
      </c>
      <c r="P4" s="6" t="s">
        <v>8</v>
      </c>
      <c r="R4" s="5" t="s">
        <v>0</v>
      </c>
      <c r="S4" s="5" t="s">
        <v>7</v>
      </c>
      <c r="T4" s="6" t="s">
        <v>8</v>
      </c>
      <c r="V4" s="5" t="s">
        <v>0</v>
      </c>
      <c r="W4" s="5" t="s">
        <v>7</v>
      </c>
      <c r="X4" s="6" t="s">
        <v>8</v>
      </c>
    </row>
    <row r="5" spans="1:24">
      <c r="B5" s="7" t="s">
        <v>9</v>
      </c>
      <c r="C5" s="7" t="e">
        <f>COUNTIF(#REF!,"positive")</f>
        <v>#REF!</v>
      </c>
      <c r="D5" s="8" t="e">
        <f>C5/C8</f>
        <v>#REF!</v>
      </c>
      <c r="F5" s="7" t="s">
        <v>9</v>
      </c>
      <c r="G5" s="4" t="e">
        <f>COUNTIFS(#REF!,"positive")</f>
        <v>#REF!</v>
      </c>
      <c r="H5" s="9" t="e">
        <f>G5/G8</f>
        <v>#REF!</v>
      </c>
      <c r="J5" s="7" t="s">
        <v>9</v>
      </c>
      <c r="K5" s="4" t="e">
        <f>COUNTIFS(#REF!,"positive")</f>
        <v>#REF!</v>
      </c>
      <c r="L5" s="9" t="e">
        <f>K5/K8</f>
        <v>#REF!</v>
      </c>
      <c r="N5" s="7" t="s">
        <v>9</v>
      </c>
      <c r="O5" s="4" t="e">
        <f>COUNTIFS(#REF!,"Positive")</f>
        <v>#REF!</v>
      </c>
      <c r="P5" s="9" t="e">
        <f>O5/O8</f>
        <v>#REF!</v>
      </c>
      <c r="R5" s="7" t="s">
        <v>9</v>
      </c>
      <c r="S5" s="4" t="e">
        <f>COUNTIFS(#REF!,"Positive")</f>
        <v>#REF!</v>
      </c>
      <c r="T5" s="9" t="e">
        <f>S5/S8</f>
        <v>#REF!</v>
      </c>
      <c r="V5" s="7" t="s">
        <v>9</v>
      </c>
      <c r="W5" s="4" t="e">
        <f>COUNTIFS(#REF!,"positive")</f>
        <v>#REF!</v>
      </c>
      <c r="X5" s="9" t="e">
        <f>W5/W8</f>
        <v>#REF!</v>
      </c>
    </row>
    <row r="6" spans="1:24">
      <c r="B6" s="7" t="s">
        <v>10</v>
      </c>
      <c r="C6" s="7" t="e">
        <f>COUNTIF(#REF!,"neutral")</f>
        <v>#REF!</v>
      </c>
      <c r="D6" s="8" t="e">
        <f>C6/C8</f>
        <v>#REF!</v>
      </c>
      <c r="F6" s="7" t="s">
        <v>10</v>
      </c>
      <c r="G6" s="4" t="e">
        <f>COUNTIFS(#REF!,"neutral")</f>
        <v>#REF!</v>
      </c>
      <c r="H6" s="9" t="e">
        <f>G6/G8</f>
        <v>#REF!</v>
      </c>
      <c r="J6" s="7" t="s">
        <v>10</v>
      </c>
      <c r="K6" s="4" t="e">
        <f>COUNTIFS(#REF!,"neutral")</f>
        <v>#REF!</v>
      </c>
      <c r="L6" s="9" t="e">
        <f>K6/K8</f>
        <v>#REF!</v>
      </c>
      <c r="N6" s="7" t="s">
        <v>10</v>
      </c>
      <c r="O6" s="4" t="e">
        <f>COUNTIFS(#REF!,"Neutral")</f>
        <v>#REF!</v>
      </c>
      <c r="P6" s="9" t="e">
        <f>O6/O8</f>
        <v>#REF!</v>
      </c>
      <c r="R6" s="7" t="s">
        <v>10</v>
      </c>
      <c r="S6" s="4" t="e">
        <f>COUNTIFS(#REF!,"Neutral")</f>
        <v>#REF!</v>
      </c>
      <c r="T6" s="9" t="e">
        <f>S6/S8</f>
        <v>#REF!</v>
      </c>
      <c r="V6" s="7" t="s">
        <v>10</v>
      </c>
      <c r="W6" s="4" t="e">
        <f>COUNTIFS(#REF!,"Neutral")</f>
        <v>#REF!</v>
      </c>
      <c r="X6" s="9" t="e">
        <f>W6/W8</f>
        <v>#REF!</v>
      </c>
    </row>
    <row r="7" spans="1:24" ht="18" thickBot="1">
      <c r="B7" s="10" t="s">
        <v>11</v>
      </c>
      <c r="C7" s="10" t="e">
        <f>COUNTIF(#REF!,"Negative")</f>
        <v>#REF!</v>
      </c>
      <c r="D7" s="11" t="e">
        <f>C7/C8</f>
        <v>#REF!</v>
      </c>
      <c r="F7" s="10" t="s">
        <v>11</v>
      </c>
      <c r="G7" s="12" t="e">
        <f>COUNTIFS(#REF!,"negative")</f>
        <v>#REF!</v>
      </c>
      <c r="H7" s="13" t="e">
        <f>G7/G8</f>
        <v>#REF!</v>
      </c>
      <c r="J7" s="10" t="s">
        <v>11</v>
      </c>
      <c r="K7" s="12" t="e">
        <f>COUNTIFS(#REF!,"Negative ")</f>
        <v>#REF!</v>
      </c>
      <c r="L7" s="13" t="e">
        <f>K7/K8</f>
        <v>#REF!</v>
      </c>
      <c r="N7" s="10" t="s">
        <v>11</v>
      </c>
      <c r="O7" s="4" t="e">
        <f>COUNTIFS(#REF!,"Negative")</f>
        <v>#REF!</v>
      </c>
      <c r="P7" s="13" t="e">
        <f>O7/O8</f>
        <v>#REF!</v>
      </c>
      <c r="R7" s="10" t="s">
        <v>11</v>
      </c>
      <c r="S7" s="4" t="e">
        <f>COUNTIFS(#REF!,"Negative")</f>
        <v>#REF!</v>
      </c>
      <c r="T7" s="13" t="e">
        <f>S7/S8</f>
        <v>#REF!</v>
      </c>
      <c r="V7" s="10" t="s">
        <v>11</v>
      </c>
      <c r="W7" s="4" t="e">
        <f>COUNTIFS(#REF!,"Negative")</f>
        <v>#REF!</v>
      </c>
      <c r="X7" s="13" t="e">
        <f>W7/W8</f>
        <v>#REF!</v>
      </c>
    </row>
    <row r="8" spans="1:24">
      <c r="B8" s="14" t="s">
        <v>12</v>
      </c>
      <c r="C8" s="14" t="e">
        <f>SUM(C5:C7)</f>
        <v>#REF!</v>
      </c>
      <c r="D8" s="15" t="s">
        <v>13</v>
      </c>
      <c r="F8" s="14" t="s">
        <v>12</v>
      </c>
      <c r="G8" s="16" t="e">
        <f>SUM(G5:G7)</f>
        <v>#REF!</v>
      </c>
      <c r="H8" s="17" t="e">
        <f>SUM(H5:H7)</f>
        <v>#REF!</v>
      </c>
      <c r="J8" s="18" t="s">
        <v>12</v>
      </c>
      <c r="K8" s="19" t="e">
        <f>SUM(K5:K7)</f>
        <v>#REF!</v>
      </c>
      <c r="L8" s="20" t="e">
        <f>SUM(L5:L7)</f>
        <v>#REF!</v>
      </c>
      <c r="N8" s="14" t="s">
        <v>12</v>
      </c>
      <c r="O8" s="16" t="e">
        <f>SUM(O5:O7)</f>
        <v>#REF!</v>
      </c>
      <c r="P8" s="17" t="e">
        <f>SUM(P5:P7)</f>
        <v>#REF!</v>
      </c>
      <c r="R8" s="14" t="s">
        <v>12</v>
      </c>
      <c r="S8" s="16" t="e">
        <f>SUM(S5:S7)</f>
        <v>#REF!</v>
      </c>
      <c r="T8" s="17" t="e">
        <f>SUM(T5:T7)</f>
        <v>#REF!</v>
      </c>
      <c r="V8" s="14" t="s">
        <v>12</v>
      </c>
      <c r="W8" s="16" t="e">
        <f>SUM(W5:W7)</f>
        <v>#REF!</v>
      </c>
      <c r="X8" s="17" t="e">
        <f>SUM(X5:X7)</f>
        <v>#REF!</v>
      </c>
    </row>
    <row r="24" spans="1:18">
      <c r="B24" s="21"/>
      <c r="C24" s="21"/>
      <c r="D24" s="21"/>
      <c r="E24" s="21"/>
      <c r="F24" s="29"/>
      <c r="G24" s="29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>
      <c r="C25" s="21"/>
      <c r="D25" s="21"/>
      <c r="E25" s="21"/>
      <c r="F25" s="29"/>
      <c r="G25" s="29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  <row r="26" spans="1:18">
      <c r="E26" s="21"/>
      <c r="F26" s="29"/>
      <c r="G26" s="29"/>
    </row>
    <row r="27" spans="1:18" s="26" customFormat="1">
      <c r="A27" s="30"/>
      <c r="C27" s="33" t="s">
        <v>14</v>
      </c>
      <c r="D27" s="34"/>
      <c r="E27" s="31"/>
      <c r="F27" s="27" t="s">
        <v>18</v>
      </c>
      <c r="G27" s="28"/>
    </row>
    <row r="28" spans="1:18">
      <c r="C28" s="22" t="s">
        <v>15</v>
      </c>
      <c r="D28" s="23" t="s">
        <v>7</v>
      </c>
      <c r="F28" s="25" t="s">
        <v>15</v>
      </c>
      <c r="G28" s="5" t="s">
        <v>7</v>
      </c>
    </row>
    <row r="29" spans="1:18" ht="34.5">
      <c r="C29" s="24" t="s">
        <v>20</v>
      </c>
      <c r="D29" s="32">
        <v>1</v>
      </c>
      <c r="F29" s="24" t="s">
        <v>16</v>
      </c>
      <c r="G29" s="24">
        <v>1</v>
      </c>
    </row>
    <row r="30" spans="1:18">
      <c r="C30" s="24" t="s">
        <v>17</v>
      </c>
      <c r="D30" s="32">
        <v>1</v>
      </c>
      <c r="F30" s="24" t="s">
        <v>21</v>
      </c>
      <c r="G30" s="24">
        <v>2</v>
      </c>
    </row>
    <row r="31" spans="1:18" ht="34.5">
      <c r="C31" s="24" t="s">
        <v>16</v>
      </c>
      <c r="D31" s="32">
        <v>10</v>
      </c>
      <c r="F31" s="24" t="s">
        <v>22</v>
      </c>
      <c r="G31" s="24">
        <v>1</v>
      </c>
    </row>
    <row r="32" spans="1:18" ht="34.5">
      <c r="F32" s="24" t="s">
        <v>23</v>
      </c>
      <c r="G32" s="24">
        <v>1</v>
      </c>
    </row>
    <row r="33" spans="6:7">
      <c r="F33" s="24" t="s">
        <v>24</v>
      </c>
      <c r="G33" s="24">
        <v>1</v>
      </c>
    </row>
    <row r="34" spans="6:7">
      <c r="F34" s="24" t="s">
        <v>25</v>
      </c>
      <c r="G34" s="24">
        <v>1</v>
      </c>
    </row>
  </sheetData>
  <mergeCells count="8">
    <mergeCell ref="C27:D27"/>
    <mergeCell ref="B1:X1"/>
    <mergeCell ref="B3:D3"/>
    <mergeCell ref="F3:H3"/>
    <mergeCell ref="J3:L3"/>
    <mergeCell ref="N3:P3"/>
    <mergeCell ref="R3:T3"/>
    <mergeCell ref="V3:X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Zarina Orujeva</dc:creator>
  <cp:lastModifiedBy>Shixi Ibrahimov</cp:lastModifiedBy>
  <dcterms:created xsi:type="dcterms:W3CDTF">2025-11-03T07:31:05Z</dcterms:created>
  <dcterms:modified xsi:type="dcterms:W3CDTF">2026-03-11T17:00:03Z</dcterms:modified>
</cp:coreProperties>
</file>